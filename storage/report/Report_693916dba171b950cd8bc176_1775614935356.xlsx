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tua\Downloads\"/>
    </mc:Choice>
  </mc:AlternateContent>
  <xr:revisionPtr revIDLastSave="0" documentId="11_9848426E7A9789892263E2E96B95F2B7C9CC24AC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Biểu giá điện" sheetId="1" r:id="rId1"/>
    <sheet name="Tổng tiêu th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<sst xmlns="http://schemas.openxmlformats.org/spreadsheetml/2006/main">
  <si>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Tổng tiêu thụ</t>
  </si>
  <si>
    <t>kWh</t>
  </si>
  <si>
    <t>Tiền tạm tính</t>
  </si>
  <si>
    <t>Vnd</t>
  </si>
  <si>
    <t>Bẳng Báo cáo tiêu thụ</t>
  </si>
  <si>
    <t>STT</t>
  </si>
  <si>
    <t>Thời gian</t>
  </si>
  <si>
    <t>Lượng tiêu thụ (kWh)</t>
  </si>
  <si>
    <t>Giờ cao điểm</t>
  </si>
  <si>
    <t>Giờ  thường</t>
  </si>
  <si>
    <t>Giờ thấp điểm</t>
  </si>
  <si>
    <t>Lượng phản kháng (kvArh)</t>
  </si>
  <si>
    <t>Tiền điện (vnd)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</si>
  <si>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</si>
  <si>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</si>
  <si>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</si>
  <si>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</si>
  <si>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</si>
  <si>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</si>
  <si>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</si>
  <si>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Tổng cao điểm</t>
  </si>
  <si>
    <t>Tiền điện giờ cao điểm</t>
  </si>
  <si>
    <t>vnd</t>
  </si>
  <si>
    <t xml:space="preserve">Tổng giờ thường </t>
  </si>
  <si>
    <t>Tiền điện giờ thường</t>
  </si>
  <si>
    <t>Tổng thấp điểm</t>
  </si>
  <si>
    <t>Tiền điện giờ thấp điểm</t>
  </si>
  <si>
    <t>Phân loại giá</t>
  </si>
  <si>
    <t>Mã</t>
  </si>
  <si>
    <t>Đơn giá</t>
  </si>
  <si>
    <t>H</t>
  </si>
  <si>
    <t>Giờ thường</t>
  </si>
  <si>
    <t>M</t>
  </si>
  <si>
    <t>L</t>
  </si>
  <si>
    <t xml:space="preserve">07/04/2026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</si>
</sst>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#,##0;[Red]#,##0"/>
  </numFmts>
  <fonts x14ac:knownFonts="1"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Tiêu thụ theo khung giờ (kWh)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9644948914538921E-2"/>
          <c:y val="0.12826907301066451"/>
          <c:w val="0.94071010217092221"/>
          <c:h val="0.691686615465109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'Tổng tiêu thụ'!$D$4</c:f>
              <c:strCache>
                <c:ptCount val="1"/>
                <c:pt idx="0">
                  <c:v>Giờ cao điểm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'Tổng tiêu thụ'!$B$5:$B$35</c:f>
              <c:strCache>
                <c:ptCount val="7"/>
                <c:pt idx="0">
                  <c:v>31/03/2026</c:v>
                </c:pt>
                <c:pt idx="1">
                  <c:v>01/04/2026</c:v>
                </c:pt>
                <c:pt idx="2">
                  <c:v>02/04/2026</c:v>
                </c:pt>
                <c:pt idx="3">
                  <c:v>03/04/2026</c:v>
                </c:pt>
                <c:pt idx="4">
                  <c:v>04/04/2026</c:v>
                </c:pt>
                <c:pt idx="5">
                  <c:v>05/04/2026</c:v>
                </c:pt>
                <c:pt idx="6">
                  <c:v>06/04/2026</c:v>
                </c:pt>
              </c:strCache>
            </c:strRef>
          </c:cat>
          <c:val>
            <c:numRef>
              <c:f>'Tổng tiêu thụ'!$D$5:$D$35</c:f>
              <c:numCache>
                <c:formatCode>General</c:formatCode>
                <c:ptCount val="31"/>
                <c:pt idx="0">
                  <c:v>3.3799999999999728</c:v>
                </c:pt>
                <c:pt idx="1">
                  <c:v>2.2000000000000002</c:v>
                </c:pt>
                <c:pt idx="2">
                  <c:v>2.2999999999999998</c:v>
                </c:pt>
                <c:pt idx="3">
                  <c:v>2.2600000000000362</c:v>
                </c:pt>
                <c:pt idx="4">
                  <c:v>0.3199999999999818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5-44F9-969D-767290B25119}"/>
            </c:ext>
          </c:extLst>
        </c:ser>
        <c:ser>
          <c:idx val="1"/>
          <c:order val="1"/>
          <c:tx>
            <c:strRef>
              <c:f>'Tổng tiêu thụ'!$E$4</c:f>
              <c:strCache>
                <c:ptCount val="1"/>
                <c:pt idx="0">
                  <c:v>Giờ  thường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'Tổng tiêu thụ'!$B$5:$B$35</c:f>
              <c:strCache>
                <c:ptCount val="7"/>
                <c:pt idx="0">
                  <c:v>31/03/2026</c:v>
                </c:pt>
                <c:pt idx="1">
                  <c:v>01/04/2026</c:v>
                </c:pt>
                <c:pt idx="2">
                  <c:v>02/04/2026</c:v>
                </c:pt>
                <c:pt idx="3">
                  <c:v>03/04/2026</c:v>
                </c:pt>
                <c:pt idx="4">
                  <c:v>04/04/2026</c:v>
                </c:pt>
                <c:pt idx="5">
                  <c:v>05/04/2026</c:v>
                </c:pt>
                <c:pt idx="6">
                  <c:v>06/04/2026</c:v>
                </c:pt>
              </c:strCache>
            </c:strRef>
          </c:cat>
          <c:val>
            <c:numRef>
              <c:f>'Tổng tiêu thụ'!$E$5:$E$35</c:f>
              <c:numCache>
                <c:formatCode>General</c:formatCode>
                <c:ptCount val="31"/>
                <c:pt idx="0">
                  <c:v>12.674999999999899</c:v>
                </c:pt>
                <c:pt idx="1">
                  <c:v>8.25</c:v>
                </c:pt>
                <c:pt idx="2">
                  <c:v>8.625</c:v>
                </c:pt>
                <c:pt idx="3">
                  <c:v>8.4750000000001364</c:v>
                </c:pt>
                <c:pt idx="4">
                  <c:v>1.199999999999932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A5-44F9-969D-767290B25119}"/>
            </c:ext>
          </c:extLst>
        </c:ser>
        <c:ser>
          <c:idx val="2"/>
          <c:order val="2"/>
          <c:tx>
            <c:strRef>
              <c:f>'Tổng tiêu thụ'!$F$4</c:f>
              <c:strCache>
                <c:ptCount val="1"/>
                <c:pt idx="0">
                  <c:v>Giờ thấp điểm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'Tổng tiêu thụ'!$B$5:$B$35</c:f>
              <c:strCache>
                <c:ptCount val="7"/>
                <c:pt idx="0">
                  <c:v>31/03/2026</c:v>
                </c:pt>
                <c:pt idx="1">
                  <c:v>01/04/2026</c:v>
                </c:pt>
                <c:pt idx="2">
                  <c:v>02/04/2026</c:v>
                </c:pt>
                <c:pt idx="3">
                  <c:v>03/04/2026</c:v>
                </c:pt>
                <c:pt idx="4">
                  <c:v>04/04/2026</c:v>
                </c:pt>
                <c:pt idx="5">
                  <c:v>05/04/2026</c:v>
                </c:pt>
                <c:pt idx="6">
                  <c:v>06/04/2026</c:v>
                </c:pt>
              </c:strCache>
            </c:strRef>
          </c:cat>
          <c:val>
            <c:numRef>
              <c:f>'Tổng tiêu thụ'!$F$5:$F$35</c:f>
              <c:numCache>
                <c:formatCode>General</c:formatCode>
                <c:ptCount val="31"/>
                <c:pt idx="0">
                  <c:v>0.84499999999999353</c:v>
                </c:pt>
                <c:pt idx="1">
                  <c:v>0.55000000000000071</c:v>
                </c:pt>
                <c:pt idx="2">
                  <c:v>0.57499999999999929</c:v>
                </c:pt>
                <c:pt idx="3">
                  <c:v>0.56500000000000838</c:v>
                </c:pt>
                <c:pt idx="4">
                  <c:v>7.9999999999995408E-2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A5-44F9-969D-767290B25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5771200"/>
        <c:axId val="845764000"/>
      </c:barChart>
      <c:lineChart>
        <c:grouping val="standard"/>
        <c:varyColors val="0"/>
        <c:ser>
          <c:idx val="3"/>
          <c:order val="3"/>
          <c:tx>
            <c:v>Tiền điện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'Tổng tiêu thụ'!$B$4:$B$34</c:f>
              <c:strCache>
                <c:ptCount val="8"/>
                <c:pt idx="0">
                  <c:v>Thời gian</c:v>
                </c:pt>
                <c:pt idx="1">
                  <c:v>31/03/2026</c:v>
                </c:pt>
                <c:pt idx="2">
                  <c:v>01/04/2026</c:v>
                </c:pt>
                <c:pt idx="3">
                  <c:v>02/04/2026</c:v>
                </c:pt>
                <c:pt idx="4">
                  <c:v>03/04/2026</c:v>
                </c:pt>
                <c:pt idx="5">
                  <c:v>04/04/2026</c:v>
                </c:pt>
                <c:pt idx="6">
                  <c:v>05/04/2026</c:v>
                </c:pt>
                <c:pt idx="7">
                  <c:v>06/04/2026</c:v>
                </c:pt>
              </c:strCache>
            </c:strRef>
          </c:cat>
          <c:val>
            <c:numRef>
              <c:f>'Tổng tiêu thụ'!$H$4:$H$34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A5-44F9-969D-767290B25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5764480"/>
        <c:axId val="845790880"/>
      </c:lineChart>
      <c:catAx>
        <c:axId val="8457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764000"/>
        <c:crosses val="autoZero"/>
        <c:auto val="1"/>
        <c:lblAlgn val="ctr"/>
        <c:lblOffset val="100"/>
        <c:noMultiLvlLbl val="0"/>
      </c:catAx>
      <c:valAx>
        <c:axId val="84576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771200"/>
        <c:crosses val="autoZero"/>
        <c:crossBetween val="between"/>
      </c:valAx>
      <c:catAx>
        <c:axId val="8457644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5790880"/>
        <c:crosses val="autoZero"/>
        <c:auto val="1"/>
        <c:lblAlgn val="ctr"/>
        <c:lblOffset val="100"/>
        <c:noMultiLvlLbl val="0"/>
      </c:catAx>
      <c:valAx>
        <c:axId val="84579088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764480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Tỷ trọng tiêu thụ theo khung giờ</a:t>
            </a:r>
          </a:p>
        </c:rich>
      </c:tx>
      <c:overlay val="1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'Tổng tiêu thụ'!$J$22:$J$24</c:f>
              <c:strCache>
                <c:ptCount val="3"/>
                <c:pt idx="0">
                  <c:v>Tổng cao điểm</c:v>
                </c:pt>
                <c:pt idx="1">
                  <c:v>Tổng giờ thường </c:v>
                </c:pt>
                <c:pt idx="2">
                  <c:v>Tổng thấp điểm</c:v>
                </c:pt>
              </c:strCache>
            </c:strRef>
          </c:cat>
          <c:val>
            <c:numRef>
              <c:f>'Tổng tiêu thụ'!$M$22:$M$24</c:f>
              <c:numCache>
                <c:formatCode>General</c:formatCode>
                <c:ptCount val="3"/>
                <c:pt idx="0">
                  <c:v>10.459999999999992</c:v>
                </c:pt>
                <c:pt idx="1">
                  <c:v>39.224999999999966</c:v>
                </c:pt>
                <c:pt idx="2">
                  <c:v>2.6149999999999975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F-452A-9608-1C575DDD0D5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160336</xdr:colOff>
      <xdr:row>0</xdr:row>
      <xdr:rowOff>193674</xdr:rowOff>
    </xdr:from>
    <xdr:to>
      <xdr:col>26</xdr:col>
      <xdr:colOff>441325</xdr:colOff>
      <xdr:row>19</xdr:row>
      <xdr:rowOff>177799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152400</xdr:colOff>
      <xdr:row>1</xdr:row>
      <xdr:rowOff>12700</xdr:rowOff>
    </xdr:from>
    <xdr:to>
      <xdr:col>33</xdr:col>
      <xdr:colOff>0</xdr:colOff>
      <xdr:row>20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/>
  <sheetViews>
    <sheetView workbookViewId="0">
      <selection activeCell="F12" sqref="F12"/>
    </sheetView>
  </sheetViews>
  <sheetFormatPr defaultRowHeight="14.5" x14ac:dyDescent="0.35"/>
  <cols>
    <col min="1" max="1" width="5.90625" customWidth="1"/>
    <col min="2" max="2" width="20" customWidth="1"/>
    <col min="3" max="3" width="6.6328125" customWidth="1"/>
    <col min="4" max="4" width="12.36328125" customWidth="1"/>
  </cols>
  <sheetData>
    <row r="1" spans="1:4" x14ac:dyDescent="0.35">
      <c r="A1" t="s" s="1">
        <v>5</v>
      </c>
      <c r="B1" t="s" s="1">
        <v>27</v>
      </c>
      <c r="C1" t="s" s="1">
        <v>28</v>
      </c>
      <c r="D1" t="s" s="1">
        <v>29</v>
      </c>
    </row>
    <row r="2" spans="1:4" x14ac:dyDescent="0.35">
      <c r="A2" s="1">
        <v>1</v>
      </c>
      <c r="B2" t="s" s="1">
        <v>8</v>
      </c>
      <c r="C2" t="s" s="1">
        <v>30</v>
      </c>
      <c r="D2" s="1">
        <v>5422</v>
      </c>
    </row>
    <row r="3" spans="1:4" x14ac:dyDescent="0.35">
      <c r="A3" s="1">
        <v>2</v>
      </c>
      <c r="B3" t="s" s="1">
        <v>31</v>
      </c>
      <c r="C3" t="s" s="1">
        <v>32</v>
      </c>
      <c r="D3" s="1">
        <v>3152</v>
      </c>
    </row>
    <row r="4" spans="1:4" x14ac:dyDescent="0.35">
      <c r="A4" s="1">
        <v>3</v>
      </c>
      <c r="B4" t="s" s="1">
        <v>10</v>
      </c>
      <c r="C4" t="s" s="1">
        <v>33</v>
      </c>
      <c r="D4" s="1">
        <v>1918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/>
  <sheetViews>
    <sheetView tabSelected="1" workbookViewId="0">
      <selection activeCell="U32" sqref="U32"/>
    </sheetView>
  </sheetViews>
  <sheetFormatPr defaultRowHeight="14" x14ac:dyDescent="0.3"/>
  <cols>
    <col min="1" max="1" width="9.1796875" style="4" customWidth="1"/>
    <col min="2" max="2" width="18.54296875" style="4" customWidth="1"/>
    <col min="3" max="7" width="10.7265625" style="2" customWidth="1"/>
    <col min="8" max="8" width="12.7265625" style="2" customWidth="1"/>
    <col min="9" max="11" width="8.7265625" style="3" customWidth="1"/>
    <col min="12" max="16384" width="8.7265625" style="3"/>
  </cols>
  <sheetData>
    <row r="1" spans="1:8" s="10" customFormat="1" ht="27" customHeight="1" x14ac:dyDescent="0.35">
      <c r="A1" t="s" s="19">
        <v>0</v>
      </c>
      <c r="B1" s="15"/>
      <c r="C1" s="16">
        <f>SUM(C5:C41)</f>
      </c>
      <c r="D1" s="14"/>
      <c r="E1" s="15"/>
      <c r="F1" t="s" s="9">
        <v>1</v>
      </c>
      <c r="G1" s="12"/>
      <c r="H1" s="12"/>
    </row>
    <row r="2" spans="1:8" s="10" customFormat="1" ht="27" customHeight="1" x14ac:dyDescent="0.35">
      <c r="A2" t="s" s="19">
        <v>2</v>
      </c>
      <c r="B2" s="15"/>
      <c r="C2" s="13">
        <f>SUM(S22:S24)</f>
      </c>
      <c r="D2" s="14"/>
      <c r="E2" s="15"/>
      <c r="F2" t="s" s="9">
        <v>3</v>
      </c>
      <c r="G2" s="12"/>
      <c r="H2" s="12"/>
    </row>
    <row r="3" spans="1:8" ht="14.5" x14ac:dyDescent="0.35">
      <c r="A3" t="s" s="17">
        <v>4</v>
      </c>
      <c r="B3" s="14"/>
      <c r="C3" s="14"/>
      <c r="D3" s="14"/>
      <c r="E3" s="14"/>
      <c r="F3" s="14"/>
      <c r="G3" s="14"/>
      <c r="H3" s="15"/>
    </row>
    <row r="4" spans="1:8" ht="28" customHeight="1" x14ac:dyDescent="0.3">
      <c r="A4" t="s" s="5">
        <v>5</v>
      </c>
      <c r="B4" t="s" s="5">
        <v>6</v>
      </c>
      <c r="C4" t="s" s="6">
        <v>7</v>
      </c>
      <c r="D4" t="s" s="6">
        <v>8</v>
      </c>
      <c r="E4" t="s" s="6">
        <v>9</v>
      </c>
      <c r="F4" t="s" s="6">
        <v>10</v>
      </c>
      <c r="G4" t="s" s="6">
        <v>11</v>
      </c>
      <c r="H4" t="s" s="7">
        <v>12</v>
      </c>
    </row>
    <row r="5" spans="1:8" x14ac:dyDescent="0.3">
      <c r="A5" s="4">
        <v>1</v>
      </c>
      <c r="B5" t="s" s="8">
        <v>13</v>
      </c>
      <c r="C5" s="2">
        <v>16.899999999999864</v>
      </c>
      <c r="D5" s="2">
        <v>2.5999999999999943</v>
      </c>
      <c r="E5" s="2">
        <v>9.800000000000182</v>
      </c>
      <c r="F5" s="2">
        <v>0.4999999999997726</v>
      </c>
      <c r="G5" s="2">
        <v>2.5999999999999943</v>
      </c>
      <c r="H5" s="2">
        <v>0</v>
      </c>
    </row>
    <row r="6" spans="1:8" x14ac:dyDescent="0.3">
      <c r="A6" s="4">
        <v>2</v>
      </c>
      <c r="B6" t="s" s="8">
        <v>14</v>
      </c>
      <c r="C6" s="2">
        <v>11</v>
      </c>
      <c r="D6" s="2">
        <v>1.799999999999983</v>
      </c>
      <c r="E6" s="2">
        <v>7.300000000000182</v>
      </c>
      <c r="F6" s="2">
        <v>0.6999999999998181</v>
      </c>
      <c r="G6" s="2">
        <v>1.799999999999983</v>
      </c>
      <c r="H6" s="2">
        <v>0</v>
      </c>
    </row>
    <row r="7" spans="1:8" x14ac:dyDescent="0.3">
      <c r="A7" s="4">
        <v>3</v>
      </c>
      <c r="B7" t="s" s="8">
        <v>15</v>
      </c>
      <c r="C7" s="2">
        <v>11.5</v>
      </c>
      <c r="D7" s="2">
        <v>1.8000000000000114</v>
      </c>
      <c r="E7" s="2">
        <v>6.2999999999999545</v>
      </c>
      <c r="F7" s="2">
        <v>1.2000000000000455</v>
      </c>
      <c r="G7" s="2">
        <v>1.8000000000000114</v>
      </c>
      <c r="H7" s="2">
        <v>0</v>
      </c>
    </row>
    <row r="8" spans="1:8" x14ac:dyDescent="0.3">
      <c r="A8" s="4">
        <v>4</v>
      </c>
      <c r="B8" t="s" s="8">
        <v>16</v>
      </c>
      <c r="C8" s="2">
        <v>11.300000000000182</v>
      </c>
      <c r="D8" s="2">
        <v>2.1999999999999886</v>
      </c>
      <c r="E8" s="2">
        <v>7.000000000000227</v>
      </c>
      <c r="F8" s="2">
        <v>1</v>
      </c>
      <c r="G8" s="2">
        <v>2.1999999999999886</v>
      </c>
      <c r="H8" s="2">
        <v>0</v>
      </c>
    </row>
    <row r="9" spans="1:8" x14ac:dyDescent="0.3">
      <c r="A9" s="4">
        <v>5</v>
      </c>
      <c r="B9" t="s" s="8">
        <v>17</v>
      </c>
      <c r="C9" s="2">
        <v>1.599999999999909</v>
      </c>
      <c r="D9" s="2">
        <v>0.6000000000000227</v>
      </c>
      <c r="E9" s="2">
        <v>0.8999999999998636</v>
      </c>
      <c r="F9" s="2">
        <v>0.5</v>
      </c>
      <c r="G9" s="2">
        <v>0.6000000000000227</v>
      </c>
      <c r="H9" s="2">
        <v>0</v>
      </c>
    </row>
    <row r="10" spans="1:8" x14ac:dyDescent="0.3">
      <c r="A10" s="4">
        <v>6</v>
      </c>
      <c r="B10" t="s" s="8">
        <v>18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 x14ac:dyDescent="0.3">
      <c r="A11" s="4">
        <v>7</v>
      </c>
      <c r="B11" t="s" s="8">
        <v>19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 x14ac:dyDescent="0.3">
      <c r="A12" s="4">
        <v>8</v>
      </c>
      <c r="B12" t="s" s="8">
        <v>34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 x14ac:dyDescent="0.3">
      <c r="A13" s="4"/>
      <c r="B13" s="8"/>
      <c r="C13" s="2"/>
      <c r="D13" s="2"/>
      <c r="E13" s="2"/>
      <c r="F13" s="2"/>
      <c r="G13" s="2"/>
      <c r="H13" s="2"/>
    </row>
    <row r="14" spans="1:8" x14ac:dyDescent="0.3">
      <c r="A14" s="4"/>
      <c r="B14" s="8"/>
      <c r="C14" s="2"/>
      <c r="D14" s="2"/>
      <c r="E14" s="2"/>
      <c r="F14" s="2"/>
      <c r="G14" s="2"/>
      <c r="H14" s="2"/>
    </row>
    <row r="15" spans="1:8" x14ac:dyDescent="0.3">
      <c r="A15" s="4"/>
      <c r="B15" s="8"/>
      <c r="C15" s="2"/>
      <c r="D15" s="2"/>
      <c r="E15" s="2"/>
      <c r="F15" s="2"/>
      <c r="G15" s="2"/>
      <c r="H15" s="2"/>
    </row>
    <row r="16" spans="1:8" x14ac:dyDescent="0.3">
      <c r="A16" s="4"/>
      <c r="B16" s="8"/>
      <c r="C16" s="2"/>
      <c r="D16" s="2"/>
      <c r="E16" s="2"/>
      <c r="F16" s="2"/>
      <c r="G16" s="2"/>
      <c r="H16" s="2"/>
    </row>
    <row r="17" spans="1:20" x14ac:dyDescent="0.3">
      <c r="A17" s="4"/>
      <c r="B17" s="8"/>
      <c r="C17" s="2"/>
      <c r="D17" s="2"/>
      <c r="E17" s="2"/>
      <c r="F17" s="2"/>
      <c r="G17" s="2"/>
      <c r="H17" s="2"/>
    </row>
    <row r="18" spans="1:20" x14ac:dyDescent="0.3">
      <c r="A18" s="4"/>
      <c r="B18" s="8"/>
      <c r="C18" s="2"/>
      <c r="D18" s="2"/>
      <c r="E18" s="2"/>
      <c r="F18" s="2"/>
      <c r="G18" s="2"/>
      <c r="H18" s="2"/>
    </row>
    <row r="19" spans="1:20" x14ac:dyDescent="0.3">
      <c r="A19" s="4"/>
      <c r="B19" s="8"/>
      <c r="C19" s="2"/>
      <c r="D19" s="2"/>
      <c r="E19" s="2"/>
      <c r="F19" s="2"/>
      <c r="G19" s="2"/>
      <c r="H19" s="2"/>
    </row>
    <row r="20" spans="1:20" x14ac:dyDescent="0.3">
      <c r="A20" s="4"/>
      <c r="B20" s="8"/>
      <c r="C20" s="2"/>
      <c r="D20" s="2"/>
      <c r="E20" s="2"/>
      <c r="F20" s="2"/>
      <c r="G20" s="2"/>
      <c r="H20" s="2"/>
    </row>
    <row r="21" spans="1:20" x14ac:dyDescent="0.3">
      <c r="A21" s="4"/>
      <c r="B21" s="8"/>
      <c r="C21" s="2"/>
      <c r="D21" s="2"/>
      <c r="E21" s="2"/>
      <c r="F21" s="2"/>
      <c r="G21" s="2"/>
      <c r="H21" s="2"/>
    </row>
    <row r="22" spans="1:20" ht="14.5" x14ac:dyDescent="0.35">
      <c r="A22" s="4"/>
      <c r="B22" s="8"/>
      <c r="C22" s="2"/>
      <c r="D22" s="2"/>
      <c r="E22" s="2"/>
      <c r="F22" s="2"/>
      <c r="G22" s="2"/>
      <c r="H22" s="2"/>
      <c r="J22" t="s" s="18">
        <v>20</v>
      </c>
      <c r="K22" s="14"/>
      <c r="L22" s="15"/>
      <c r="M22" s="11">
        <f>SUM(D5:D35)</f>
      </c>
      <c r="N22" t="s" s="4">
        <v>1</v>
      </c>
      <c r="P22" t="s" s="18">
        <v>21</v>
      </c>
      <c r="Q22" s="14"/>
      <c r="R22" s="15"/>
      <c r="S22" s="11">
        <f>M22*'Biểu giá điện'!D2</f>
      </c>
      <c r="T22" t="s" s="5">
        <v>22</v>
      </c>
    </row>
    <row r="23" spans="1:20" ht="14.5" x14ac:dyDescent="0.35">
      <c r="A23" s="4"/>
      <c r="B23" s="8"/>
      <c r="C23" s="2"/>
      <c r="D23" s="2"/>
      <c r="E23" s="2"/>
      <c r="F23" s="2"/>
      <c r="G23" s="2"/>
      <c r="H23" s="2"/>
      <c r="J23" t="s" s="18">
        <v>23</v>
      </c>
      <c r="K23" s="14"/>
      <c r="L23" s="15"/>
      <c r="M23" s="11">
        <f>SUM(E5:E35)</f>
      </c>
      <c r="N23" t="s" s="4">
        <v>1</v>
      </c>
      <c r="P23" t="s" s="18">
        <v>24</v>
      </c>
      <c r="Q23" s="14"/>
      <c r="R23" s="15"/>
      <c r="S23" s="11">
        <f>M23*'Biểu giá điện'!D3</f>
      </c>
      <c r="T23" t="s" s="5">
        <v>22</v>
      </c>
    </row>
    <row r="24" spans="1:20" ht="14.5" x14ac:dyDescent="0.35">
      <c r="A24" s="4"/>
      <c r="B24" s="8"/>
      <c r="C24" s="2"/>
      <c r="D24" s="2"/>
      <c r="E24" s="2"/>
      <c r="F24" s="2"/>
      <c r="G24" s="2"/>
      <c r="H24" s="2"/>
      <c r="J24" t="s" s="18">
        <v>25</v>
      </c>
      <c r="K24" s="14"/>
      <c r="L24" s="15"/>
      <c r="M24" s="11">
        <f>SUM(F5:F35)</f>
      </c>
      <c r="N24" t="s" s="4">
        <v>1</v>
      </c>
      <c r="P24" t="s" s="18">
        <v>26</v>
      </c>
      <c r="Q24" s="14"/>
      <c r="R24" s="15"/>
      <c r="S24" s="11">
        <f>M24*'Biểu giá điện'!D4</f>
      </c>
      <c r="T24" t="s" s="5">
        <v>22</v>
      </c>
    </row>
    <row r="25" spans="1:20" x14ac:dyDescent="0.3">
      <c r="A25" s="4"/>
      <c r="B25" s="8"/>
      <c r="C25" s="2"/>
      <c r="D25" s="2"/>
      <c r="E25" s="2"/>
      <c r="F25" s="2"/>
      <c r="G25" s="2"/>
      <c r="H25" s="2"/>
    </row>
    <row r="26" spans="1:20" x14ac:dyDescent="0.3">
      <c r="A26" s="4"/>
      <c r="B26" s="8"/>
      <c r="C26" s="2"/>
      <c r="D26" s="2"/>
      <c r="E26" s="2"/>
      <c r="F26" s="2"/>
      <c r="G26" s="2"/>
      <c r="H26" s="2"/>
    </row>
    <row r="27" spans="1:20" x14ac:dyDescent="0.3">
      <c r="A27" s="4"/>
      <c r="B27" s="8"/>
      <c r="C27" s="2"/>
      <c r="D27" s="2"/>
      <c r="E27" s="2"/>
      <c r="F27" s="2"/>
      <c r="G27" s="2"/>
      <c r="H27" s="2"/>
    </row>
    <row r="28" spans="1:20" x14ac:dyDescent="0.3">
      <c r="A28" s="4"/>
      <c r="B28" s="8"/>
      <c r="C28" s="2"/>
      <c r="D28" s="2"/>
      <c r="E28" s="2"/>
      <c r="F28" s="2"/>
      <c r="G28" s="2"/>
      <c r="H28" s="2"/>
    </row>
    <row r="29" spans="1:20" x14ac:dyDescent="0.3">
      <c r="A29" s="4"/>
      <c r="B29" s="8"/>
      <c r="C29" s="2"/>
      <c r="D29" s="2"/>
      <c r="E29" s="2"/>
      <c r="F29" s="2"/>
      <c r="G29" s="2"/>
      <c r="H29" s="2"/>
    </row>
    <row r="30" spans="1:20" x14ac:dyDescent="0.3">
      <c r="A30" s="4"/>
      <c r="B30" s="8"/>
      <c r="C30" s="2"/>
      <c r="D30" s="2"/>
      <c r="E30" s="2"/>
      <c r="F30" s="2"/>
      <c r="G30" s="2"/>
      <c r="H30" s="2"/>
    </row>
    <row r="31" spans="1:20" x14ac:dyDescent="0.3">
      <c r="A31" s="4"/>
      <c r="B31" s="8"/>
      <c r="C31" s="2"/>
      <c r="D31" s="2"/>
      <c r="E31" s="2"/>
      <c r="F31" s="2"/>
      <c r="G31" s="2"/>
      <c r="H31" s="2"/>
    </row>
    <row r="32" spans="1:20" x14ac:dyDescent="0.3">
      <c r="A32" s="4"/>
      <c r="B32" s="8"/>
      <c r="C32" s="2"/>
      <c r="D32" s="2"/>
      <c r="E32" s="2"/>
      <c r="F32" s="2"/>
      <c r="G32" s="2"/>
      <c r="H32" s="2"/>
    </row>
    <row r="33" spans="1:2" x14ac:dyDescent="0.3">
      <c r="A33" s="4"/>
      <c r="B33" s="8"/>
      <c r="C33" s="2"/>
      <c r="D33" s="2"/>
      <c r="E33" s="2"/>
      <c r="F33" s="2"/>
      <c r="G33" s="2"/>
      <c r="H33" s="2"/>
    </row>
    <row r="34" spans="1:2" x14ac:dyDescent="0.3">
      <c r="A34" s="4"/>
      <c r="B34" s="8"/>
      <c r="C34" s="2"/>
      <c r="D34" s="2"/>
      <c r="E34" s="2"/>
      <c r="F34" s="2"/>
      <c r="G34" s="2"/>
      <c r="H34" s="2"/>
    </row>
    <row r="35" spans="1:2" x14ac:dyDescent="0.3">
      <c r="A35" s="4"/>
      <c r="B35" s="4"/>
      <c r="C35" s="2"/>
      <c r="D35" s="2"/>
      <c r="E35" s="2"/>
      <c r="F35" s="2"/>
      <c r="G35" s="2"/>
      <c r="H35" s="2"/>
    </row>
    <row r="36">
      <c r="A36" s="4"/>
      <c r="B36" s="4"/>
      <c r="C36" s="2"/>
      <c r="D36" s="2"/>
      <c r="E36" s="2"/>
      <c r="F36" s="2"/>
      <c r="G36" s="2"/>
      <c r="H36" s="2"/>
    </row>
    <row r="37">
      <c r="A37" s="4"/>
      <c r="B37" s="4"/>
      <c r="C37" s="2"/>
      <c r="D37" s="2"/>
      <c r="E37" s="2"/>
      <c r="F37" s="2"/>
      <c r="G37" s="2"/>
      <c r="H37" s="2"/>
    </row>
    <row r="38">
      <c r="A38" s="4"/>
      <c r="B38" s="4"/>
      <c r="C38" s="2"/>
      <c r="D38" s="2"/>
      <c r="E38" s="2"/>
      <c r="F38" s="2"/>
      <c r="G38" s="2"/>
      <c r="H38" s="2"/>
    </row>
    <row r="39">
      <c r="A39" s="4"/>
      <c r="B39" s="4"/>
      <c r="C39" s="2"/>
      <c r="D39" s="2"/>
      <c r="E39" s="2"/>
      <c r="F39" s="2"/>
      <c r="G39" s="2"/>
      <c r="H39" s="2"/>
    </row>
    <row r="40">
      <c r="A40" s="4"/>
      <c r="B40" s="4"/>
      <c r="C40" s="2"/>
      <c r="D40" s="2"/>
      <c r="E40" s="2"/>
      <c r="F40" s="2"/>
      <c r="G40" s="2"/>
      <c r="H40" s="2"/>
    </row>
    <row r="41">
      <c r="A41" s="4"/>
      <c r="B41" s="4"/>
      <c r="C41" s="2"/>
      <c r="D41" s="2"/>
      <c r="E41" s="2"/>
      <c r="F41" s="2"/>
      <c r="G41" s="2"/>
      <c r="H41" s="2"/>
    </row>
  </sheetData>
  <mergeCells count="11">
    <mergeCell ref="P24:R24"/>
    <mergeCell ref="J22:L22"/>
    <mergeCell ref="J23:L23"/>
    <mergeCell ref="P22:R22"/>
    <mergeCell ref="P23:R23"/>
    <mergeCell ref="C2:E2"/>
    <mergeCell ref="C1:E1"/>
    <mergeCell ref="A3:H3"/>
    <mergeCell ref="J24:L24"/>
    <mergeCell ref="A2:B2"/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Biểu giá điện</vt:lpstr>
      <vt:lpstr>Tổng tiêu thụ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khuong atua</dc:creator>
  <cp:lastModifiedBy>khuong atua</cp:lastModifiedBy>
  <dcterms:created xsi:type="dcterms:W3CDTF">2024-09-29T09:16:21Z</dcterms:created>
  <dcterms:modified xsi:type="dcterms:W3CDTF">2026-04-07T08:11:58Z</dcterms:modified>
</cp:coreProperties>
</file>